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uanqiaofeng/Documents/BHK/XevaDB/Manuscript_gitrepo/XevaDB_case_study/data/procdata/0_datasets/summary/"/>
    </mc:Choice>
  </mc:AlternateContent>
  <xr:revisionPtr revIDLastSave="0" documentId="13_ncr:1_{E5D3EA81-C3AC-E840-A025-29393DB10B59}" xr6:coauthVersionLast="47" xr6:coauthVersionMax="47" xr10:uidLastSave="{00000000-0000-0000-0000-000000000000}"/>
  <bookViews>
    <workbookView xWindow="34560" yWindow="2140" windowWidth="29160" windowHeight="174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13" i="1"/>
  <c r="F12" i="1"/>
  <c r="F11" i="1"/>
  <c r="F10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<sst xmlns="http://schemas.openxmlformats.org/spreadsheetml/2006/main" count="88" uniqueCount="58">
  <si>
    <t>PDX Resource</t>
  </si>
  <si>
    <t>Portal website</t>
  </si>
  <si>
    <t>Organization</t>
  </si>
  <si>
    <t>Model metadata</t>
  </si>
  <si>
    <t>Molecular profiles</t>
  </si>
  <si>
    <t>Drug response</t>
  </si>
  <si>
    <t>Longitudinal tumour volume</t>
  </si>
  <si>
    <t>Analysis-ready dataset</t>
  </si>
  <si>
    <t>PDX Finder / PDCM Finder (retired)</t>
  </si>
  <si>
    <t>cancermodels.org (retired; redirects to EBI BioStudies archive)</t>
  </si>
  <si>
    <t>EMBL-EBI; The Jackson Laboratory (JAX)</t>
  </si>
  <si>
    <t>Yes</t>
  </si>
  <si>
    <t>Limited</t>
  </si>
  <si>
    <t>No</t>
  </si>
  <si>
    <t>EurOPDX</t>
  </si>
  <si>
    <t>europdx.eu (portal-URL status unclear -- see note)</t>
  </si>
  <si>
    <t>EurOPDX Research Infrastructure consortium (~20 European institutes)</t>
  </si>
  <si>
    <t>PDMR</t>
  </si>
  <si>
    <t>pdmr.cancer.gov (redirects to dctd.cancer.gov/.../pdmr)</t>
  </si>
  <si>
    <t>National Cancer Institute (NCI)</t>
  </si>
  <si>
    <t>PDXNet</t>
  </si>
  <si>
    <t>pdxnetwork.org</t>
  </si>
  <si>
    <t>NCI PDX Development and Trial Centers Research Network (PDXNet)</t>
  </si>
  <si>
    <t>XevaDB</t>
  </si>
  <si>
    <t>xevadb.ca</t>
  </si>
  <si>
    <t>Princess Margaret Cancer Centre</t>
  </si>
  <si>
    <t>McGill breast</t>
  </si>
  <si>
    <t>UHN breast</t>
  </si>
  <si>
    <t>UHN lung</t>
  </si>
  <si>
    <t>PDXE pan-cancer</t>
  </si>
  <si>
    <t>Total</t>
  </si>
  <si>
    <t>Patient</t>
  </si>
  <si>
    <t>Model</t>
  </si>
  <si>
    <t>Parental Model</t>
  </si>
  <si>
    <t>Resistant Model</t>
  </si>
  <si>
    <t>RNAseq</t>
  </si>
  <si>
    <t>Mutation</t>
  </si>
  <si>
    <t>CNV</t>
  </si>
  <si>
    <t>Drug</t>
  </si>
  <si>
    <t>Treatment</t>
  </si>
  <si>
    <t>model-level treatment records</t>
  </si>
  <si>
    <t>treatment curves</t>
  </si>
  <si>
    <t>control curves</t>
  </si>
  <si>
    <t>treatment-control experiment</t>
  </si>
  <si>
    <t>Dataset</t>
  </si>
  <si>
    <t>CancerType</t>
  </si>
  <si>
    <t>Breast cancer</t>
  </si>
  <si>
    <t>PDXE breast</t>
  </si>
  <si>
    <t>Lung cancer</t>
  </si>
  <si>
    <t>PDXE lung</t>
  </si>
  <si>
    <t>PDXE gastric</t>
  </si>
  <si>
    <t>Gastric cancer</t>
  </si>
  <si>
    <t>PDXE colorectal</t>
  </si>
  <si>
    <t>Colorectal cancer</t>
  </si>
  <si>
    <t>PDXE pancreatic</t>
  </si>
  <si>
    <t>Pancreatic cancer</t>
  </si>
  <si>
    <t>PDXE cutaneous melanoma</t>
  </si>
  <si>
    <t>Cutaneous melanoma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</si>
</sst>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zoomScale="150" workbookViewId="0">
      <selection activeCell="E17" sqref="E17"/>
    </sheetView>
  </sheetViews>
  <sheetFormatPr baseColWidth="10" defaultRowHeight="16" x14ac:dyDescent="0.2"/>
  <cols>
    <col min="1" max="1" width="27.1640625" customWidth="1"/>
    <col min="2" max="2" width="17.1640625" customWidth="1"/>
    <col min="3" max="3" width="15.33203125" customWidth="1"/>
    <col min="4" max="4" width="14.83203125" customWidth="1"/>
    <col min="5" max="5" width="17.33203125" customWidth="1"/>
  </cols>
  <sheetData>
    <row r="1" spans="1:6" x14ac:dyDescent="0.2">
      <c r="B1" t="s">
        <v>26</v>
      </c>
      <c r="C1" t="s">
        <v>27</v>
      </c>
      <c r="D1" t="s">
        <v>28</v>
      </c>
      <c r="E1" t="s">
        <v>29</v>
      </c>
      <c r="F1" t="s">
        <v>30</v>
      </c>
    </row>
    <row r="2" spans="1:6" x14ac:dyDescent="0.2">
      <c r="A2" t="s">
        <v>31</v>
      </c>
      <c r="B2">
        <v>34</v>
      </c>
      <c r="C2">
        <v>117</v>
      </c>
      <c r="D2">
        <v>36</v>
      </c>
      <c r="E2">
        <v>277</v>
      </c>
      <c r="F2">
        <f t="shared" ref="F2:F8" si="0">SUM(B2:E2)</f>
        <v>464</v>
      </c>
    </row>
    <row r="3" spans="1:6" x14ac:dyDescent="0.2">
      <c r="A3" t="s">
        <v>32</v>
      </c>
      <c r="B3">
        <v>34</v>
      </c>
      <c r="C3">
        <v>342</v>
      </c>
      <c r="D3">
        <v>36</v>
      </c>
      <c r="E3">
        <v>277</v>
      </c>
      <c r="F3">
        <f t="shared" si="0"/>
        <v>689</v>
      </c>
    </row>
    <row r="4" spans="1:6" x14ac:dyDescent="0.2">
      <c r="A4" t="s">
        <v>33</v>
      </c>
      <c r="B4">
        <v>34</v>
      </c>
      <c r="C4">
        <v>112</v>
      </c>
      <c r="D4">
        <v>36</v>
      </c>
      <c r="E4">
        <v>277</v>
      </c>
      <c r="F4">
        <f t="shared" si="0"/>
        <v>459</v>
      </c>
    </row>
    <row r="5" spans="1:6" x14ac:dyDescent="0.2">
      <c r="A5" t="s">
        <v>34</v>
      </c>
      <c r="B5">
        <v>0</v>
      </c>
      <c r="C5">
        <v>230</v>
      </c>
      <c r="D5">
        <v>0</v>
      </c>
      <c r="E5">
        <v>0</v>
      </c>
      <c r="F5">
        <f t="shared" si="0"/>
        <v>230</v>
      </c>
    </row>
    <row r="6" spans="1:6" x14ac:dyDescent="0.2">
      <c r="A6" t="s">
        <v>35</v>
      </c>
      <c r="B6">
        <v>33</v>
      </c>
      <c r="C6">
        <v>88</v>
      </c>
      <c r="D6">
        <v>30</v>
      </c>
      <c r="E6">
        <v>191</v>
      </c>
      <c r="F6">
        <f t="shared" si="0"/>
        <v>342</v>
      </c>
    </row>
    <row r="7" spans="1:6" x14ac:dyDescent="0.2">
      <c r="A7" t="s">
        <v>36</v>
      </c>
      <c r="B7">
        <v>34</v>
      </c>
      <c r="C7">
        <v>83</v>
      </c>
      <c r="D7">
        <v>29</v>
      </c>
      <c r="E7">
        <v>191</v>
      </c>
      <c r="F7">
        <f t="shared" si="0"/>
        <v>337</v>
      </c>
    </row>
    <row r="8" spans="1:6" x14ac:dyDescent="0.2">
      <c r="A8" t="s">
        <v>37</v>
      </c>
      <c r="B8">
        <v>34</v>
      </c>
      <c r="C8">
        <v>83</v>
      </c>
      <c r="D8">
        <v>30</v>
      </c>
      <c r="E8">
        <v>190</v>
      </c>
      <c r="F8">
        <f t="shared" si="0"/>
        <v>337</v>
      </c>
    </row>
    <row r="9" spans="1:6" x14ac:dyDescent="0.2">
      <c r="A9" t="s">
        <v>38</v>
      </c>
      <c r="B9">
        <v>5</v>
      </c>
      <c r="C9">
        <v>15</v>
      </c>
      <c r="D9">
        <v>23</v>
      </c>
      <c r="E9">
        <v>38</v>
      </c>
      <c r="F9">
        <v>69</v>
      </c>
    </row>
    <row r="10" spans="1:6" x14ac:dyDescent="0.2">
      <c r="A10" t="s">
        <v>39</v>
      </c>
      <c r="B10">
        <v>5</v>
      </c>
      <c r="C10">
        <v>37</v>
      </c>
      <c r="D10">
        <v>37</v>
      </c>
      <c r="E10">
        <v>61</v>
      </c>
      <c r="F10">
        <f>SUM(B10:E10)</f>
        <v>140</v>
      </c>
    </row>
    <row r="11" spans="1:6" x14ac:dyDescent="0.2">
      <c r="A11" t="s">
        <v>40</v>
      </c>
      <c r="B11">
        <v>241</v>
      </c>
      <c r="C11">
        <v>2683</v>
      </c>
      <c r="D11">
        <v>1415</v>
      </c>
      <c r="E11">
        <v>4706</v>
      </c>
      <c r="F11">
        <f>SUM(B11:E11)</f>
        <v>9045</v>
      </c>
    </row>
    <row r="12" spans="1:6" x14ac:dyDescent="0.2">
      <c r="A12" t="s">
        <v>41</v>
      </c>
      <c r="B12">
        <v>167</v>
      </c>
      <c r="C12">
        <v>1197</v>
      </c>
      <c r="D12">
        <v>914</v>
      </c>
      <c r="E12">
        <v>4483</v>
      </c>
      <c r="F12">
        <f>SUM(B12:E12)</f>
        <v>6761</v>
      </c>
    </row>
    <row r="13" spans="1:6" x14ac:dyDescent="0.2">
      <c r="A13" t="s">
        <v>42</v>
      </c>
      <c r="B13">
        <v>74</v>
      </c>
      <c r="C13">
        <v>1486</v>
      </c>
      <c r="D13">
        <v>501</v>
      </c>
      <c r="E13">
        <v>223</v>
      </c>
      <c r="F13">
        <f>SUM(B13:E13)</f>
        <v>2284</v>
      </c>
    </row>
    <row r="14" spans="1:6" x14ac:dyDescent="0.2">
      <c r="A14" t="s">
        <v>43</v>
      </c>
      <c r="B14">
        <v>135</v>
      </c>
      <c r="C14">
        <v>594</v>
      </c>
      <c r="D14">
        <v>132</v>
      </c>
      <c r="E14">
        <v>3968</v>
      </c>
      <c r="F14">
        <f>SUM(B14:E14)</f>
        <v>4829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zoomScale="211" workbookViewId="0">
      <selection activeCell="C17" sqref="C17"/>
    </sheetView>
  </sheetViews>
  <sheetFormatPr baseColWidth="10" defaultRowHeight="16" x14ac:dyDescent="0.2"/>
  <cols>
    <col min="1" max="1" width="22.6640625" customWidth="1"/>
    <col min="2" max="2" width="19.83203125" customWidth="1"/>
  </cols>
  <sheetData>
    <row r="1" spans="1:3" x14ac:dyDescent="0.2">
      <c r="A1" t="s">
        <v>44</v>
      </c>
      <c r="B1" t="s">
        <v>45</v>
      </c>
      <c r="C1" t="s">
        <v>32</v>
      </c>
    </row>
    <row r="2" spans="1:3" x14ac:dyDescent="0.2">
      <c r="A2" t="s">
        <v>27</v>
      </c>
      <c r="B2" t="s">
        <v>46</v>
      </c>
      <c r="C2">
        <v>342</v>
      </c>
    </row>
    <row r="3" spans="1:3" x14ac:dyDescent="0.2">
      <c r="A3" t="s">
        <v>47</v>
      </c>
      <c r="B3" t="s">
        <v>46</v>
      </c>
      <c r="C3">
        <v>43</v>
      </c>
    </row>
    <row r="4" spans="1:3" x14ac:dyDescent="0.2">
      <c r="A4" t="s">
        <v>26</v>
      </c>
      <c r="B4" t="s">
        <v>46</v>
      </c>
      <c r="C4">
        <v>34</v>
      </c>
    </row>
    <row r="5" spans="1:3" x14ac:dyDescent="0.2">
      <c r="A5" t="s">
        <v>28</v>
      </c>
      <c r="B5" t="s">
        <v>48</v>
      </c>
      <c r="C5">
        <v>36</v>
      </c>
    </row>
    <row r="6" spans="1:3" x14ac:dyDescent="0.2">
      <c r="A6" t="s">
        <v>49</v>
      </c>
      <c r="B6" t="s">
        <v>48</v>
      </c>
      <c r="C6">
        <v>36</v>
      </c>
    </row>
    <row r="7" spans="1:3" x14ac:dyDescent="0.2">
      <c r="A7" t="s">
        <v>50</v>
      </c>
      <c r="B7" t="s">
        <v>51</v>
      </c>
      <c r="C7">
        <v>64</v>
      </c>
    </row>
    <row r="8" spans="1:3" x14ac:dyDescent="0.2">
      <c r="A8" t="s">
        <v>52</v>
      </c>
      <c r="B8" t="s">
        <v>53</v>
      </c>
      <c r="C8">
        <v>59</v>
      </c>
    </row>
    <row r="9" spans="1:3" x14ac:dyDescent="0.2">
      <c r="A9" t="s">
        <v>54</v>
      </c>
      <c r="B9" t="s">
        <v>55</v>
      </c>
      <c r="C9">
        <v>42</v>
      </c>
    </row>
    <row r="10" spans="1:3" x14ac:dyDescent="0.2">
      <c r="A10" t="s">
        <v>56</v>
      </c>
      <c r="B10" t="s">
        <v>57</v>
      </c>
      <c r="C10">
        <v>33</v>
      </c>
    </row>
    <row r="11" spans="1:3" x14ac:dyDescent="0.2">
      <c r="A11" t="s">
        <v>30</v>
      </c>
      <c r="C11">
        <v>689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B9" sqref="B9"/>
    </sheetView>
  </sheetViews>
  <sheetFormatPr baseColWidth="10" defaultRowHeight="16" x14ac:dyDescent="0.2"/>
  <cols>
    <col min="1" max="1" width="31.33203125" customWidth="1"/>
    <col min="2" max="2" width="65.33203125" customWidth="1"/>
    <col min="3" max="3" width="63.83203125" customWidth="1"/>
    <col min="4" max="4" width="15.1640625" bestFit="1" customWidth="1"/>
    <col min="5" max="5" width="17" bestFit="1" customWidth="1"/>
    <col min="6" max="6" width="25.5" bestFit="1" customWidth="1"/>
    <col min="7" max="7" width="28" customWidth="1"/>
    <col min="8" max="8" width="16.33203125" bestFit="1" customWidth="1"/>
  </cols>
  <sheetData>
    <row r="1" spans="1:8" x14ac:dyDescent="0.2">
      <c r="A1" s="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s="2" t="s">
        <v>8</v>
      </c>
      <c r="B2" t="s">
        <v>9</v>
      </c>
      <c r="C2" t="s">
        <v>10</v>
      </c>
      <c r="D2" s="2" t="s">
        <v>11</v>
      </c>
      <c r="E2" s="2" t="s">
        <v>11</v>
      </c>
      <c r="F2" s="2" t="s">
        <v>12</v>
      </c>
      <c r="G2" s="2" t="s">
        <v>13</v>
      </c>
      <c r="H2" s="2" t="s">
        <v>13</v>
      </c>
    </row>
    <row r="3" spans="1:8" x14ac:dyDescent="0.2">
      <c r="A3" s="2" t="s">
        <v>14</v>
      </c>
      <c r="B3" t="s">
        <v>15</v>
      </c>
      <c r="C3" t="s">
        <v>16</v>
      </c>
      <c r="D3" s="2" t="s">
        <v>11</v>
      </c>
      <c r="E3" s="2" t="s">
        <v>11</v>
      </c>
      <c r="F3" s="2" t="s">
        <v>12</v>
      </c>
      <c r="G3" s="2" t="s">
        <v>12</v>
      </c>
      <c r="H3" s="2" t="s">
        <v>13</v>
      </c>
    </row>
    <row r="4" spans="1:8" x14ac:dyDescent="0.2">
      <c r="A4" s="2" t="s">
        <v>17</v>
      </c>
      <c r="B4" t="s">
        <v>18</v>
      </c>
      <c r="C4" t="s">
        <v>19</v>
      </c>
      <c r="D4" s="2" t="s">
        <v>11</v>
      </c>
      <c r="E4" s="2" t="s">
        <v>11</v>
      </c>
      <c r="F4" s="2" t="s">
        <v>13</v>
      </c>
      <c r="G4" s="2" t="s">
        <v>12</v>
      </c>
      <c r="H4" s="2" t="s">
        <v>13</v>
      </c>
    </row>
    <row r="5" spans="1:8" x14ac:dyDescent="0.2">
      <c r="A5" s="2" t="s">
        <v>20</v>
      </c>
      <c r="B5" t="s">
        <v>21</v>
      </c>
      <c r="C5" t="s">
        <v>22</v>
      </c>
      <c r="D5" s="2" t="s">
        <v>11</v>
      </c>
      <c r="E5" s="2" t="s">
        <v>11</v>
      </c>
      <c r="F5" s="2" t="s">
        <v>12</v>
      </c>
      <c r="G5" s="2" t="s">
        <v>12</v>
      </c>
      <c r="H5" s="2" t="s">
        <v>12</v>
      </c>
    </row>
    <row r="6" spans="1:8" x14ac:dyDescent="0.2">
      <c r="A6" s="2" t="s">
        <v>23</v>
      </c>
      <c r="B6" s="2" t="s">
        <v>24</v>
      </c>
      <c r="C6" s="2" t="s">
        <v>25</v>
      </c>
      <c r="D6" s="2" t="s">
        <v>11</v>
      </c>
      <c r="E6" s="2" t="s">
        <v>11</v>
      </c>
      <c r="F6" s="2" t="s">
        <v>11</v>
      </c>
      <c r="G6" s="2" t="s">
        <v>11</v>
      </c>
      <c r="H6" s="2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Feng, Guanqiao</dc:creator>
  <cp:lastModifiedBy>Feng, Guanqiao</cp:lastModifiedBy>
  <dcterms:created xsi:type="dcterms:W3CDTF">2026-08-11T13:21:30Z</dcterms:created>
  <dcterms:modified xsi:type="dcterms:W3CDTF">2026-10-01T14:25:14Z</dcterms:modified>
</cp:coreProperties>
</file>