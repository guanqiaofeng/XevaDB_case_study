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00" yWindow="1740" windowWidth="28040" windowHeight="17180" tabRatio="600" firstSheet="0" activeTab="2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2"/>
      <scheme val="minor"/>
    </font>
    <font>
      <name val="Arial"/>
      <family val="2"/>
      <b val="1"/>
      <color rgb="FF000000"/>
      <sz val="11"/>
    </font>
    <font>
      <name val="Arial"/>
      <family val="2"/>
      <color rgb="FF000000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F3" sqref="A1:F3"/>
    </sheetView>
  </sheetViews>
  <sheetFormatPr baseColWidth="10" defaultRowHeight="16"/>
  <cols>
    <col width="27.1640625" customWidth="1" min="1" max="1"/>
    <col width="17.1640625" customWidth="1" min="2" max="2"/>
    <col width="15.33203125" customWidth="1" min="3" max="3"/>
    <col width="14.83203125" customWidth="1" min="4" max="4"/>
    <col width="17.33203125" customWidth="1" min="5" max="5"/>
  </cols>
  <sheetData>
    <row r="1">
      <c r="B1" t="inlineStr">
        <is>
          <t>McGill breast</t>
        </is>
      </c>
      <c r="C1" t="inlineStr">
        <is>
          <t>UHN breast</t>
        </is>
      </c>
      <c r="D1" t="inlineStr">
        <is>
          <t>UHN lung</t>
        </is>
      </c>
      <c r="E1" t="inlineStr">
        <is>
          <t>PDXE pan-cancer</t>
        </is>
      </c>
      <c r="F1" t="inlineStr">
        <is>
          <t>Total</t>
        </is>
      </c>
    </row>
    <row r="2">
      <c r="A2" t="inlineStr">
        <is>
          <t>Patient</t>
        </is>
      </c>
      <c r="B2" t="n">
        <v>34</v>
      </c>
      <c r="C2" t="n">
        <v>118</v>
      </c>
      <c r="D2" t="n">
        <v>40</v>
      </c>
      <c r="E2" t="n">
        <v>277</v>
      </c>
      <c r="F2">
        <f>SUM(B2:E2)</f>
        <v/>
      </c>
    </row>
    <row r="3">
      <c r="A3" t="inlineStr">
        <is>
          <t>Model</t>
        </is>
      </c>
      <c r="B3" t="n">
        <v>34</v>
      </c>
      <c r="C3" t="n">
        <v>364</v>
      </c>
      <c r="D3" t="n">
        <v>40</v>
      </c>
      <c r="E3" t="n">
        <v>277</v>
      </c>
      <c r="F3">
        <f>SUM(B3:E3)</f>
        <v/>
      </c>
    </row>
    <row r="4">
      <c r="A4" t="inlineStr">
        <is>
          <t>Parental Model</t>
        </is>
      </c>
      <c r="B4" t="n">
        <v>34</v>
      </c>
      <c r="C4" t="n">
        <v>118</v>
      </c>
      <c r="D4" t="n">
        <v>40</v>
      </c>
      <c r="E4" t="n">
        <v>277</v>
      </c>
      <c r="F4">
        <f>SUM(B4:E4)</f>
        <v/>
      </c>
    </row>
    <row r="5">
      <c r="A5" t="inlineStr">
        <is>
          <t>Resistant Model</t>
        </is>
      </c>
      <c r="B5" t="n">
        <v>0</v>
      </c>
      <c r="C5" t="n">
        <v>246</v>
      </c>
      <c r="D5" t="n">
        <v>0</v>
      </c>
      <c r="E5" t="n">
        <v>0</v>
      </c>
      <c r="F5">
        <f>SUM(B5:E5)</f>
        <v/>
      </c>
    </row>
    <row r="6">
      <c r="A6" t="inlineStr">
        <is>
          <t>RNAseq</t>
        </is>
      </c>
      <c r="B6" t="n">
        <v>33</v>
      </c>
      <c r="C6" t="n">
        <v>90</v>
      </c>
      <c r="D6" t="n">
        <v>30</v>
      </c>
      <c r="E6" t="n">
        <v>191</v>
      </c>
      <c r="F6">
        <f>SUM(B6:E6)</f>
        <v/>
      </c>
    </row>
    <row r="7">
      <c r="A7" t="inlineStr">
        <is>
          <t>Mutation</t>
        </is>
      </c>
      <c r="B7" t="n">
        <v>34</v>
      </c>
      <c r="C7" t="n">
        <v>85</v>
      </c>
      <c r="D7" t="n">
        <v>29</v>
      </c>
      <c r="E7" t="n">
        <v>191</v>
      </c>
      <c r="F7">
        <f>SUM(B7:E7)</f>
        <v/>
      </c>
    </row>
    <row r="8">
      <c r="A8" t="inlineStr">
        <is>
          <t>CNV</t>
        </is>
      </c>
      <c r="B8" t="n">
        <v>34</v>
      </c>
      <c r="C8" t="n">
        <v>85</v>
      </c>
      <c r="D8" t="n">
        <v>30</v>
      </c>
      <c r="E8" t="n">
        <v>190</v>
      </c>
      <c r="F8">
        <f>SUM(B8:E8)</f>
        <v/>
      </c>
    </row>
    <row r="9">
      <c r="A9" t="inlineStr">
        <is>
          <t>Drug</t>
        </is>
      </c>
      <c r="B9" t="n">
        <v>5</v>
      </c>
      <c r="C9" t="n">
        <v>20</v>
      </c>
      <c r="D9" t="n">
        <v>23</v>
      </c>
      <c r="E9" t="n">
        <v>38</v>
      </c>
      <c r="F9" t="n">
        <v>80</v>
      </c>
    </row>
    <row r="10">
      <c r="A10" t="inlineStr">
        <is>
          <t>Treatment</t>
        </is>
      </c>
      <c r="B10" t="n">
        <v>5</v>
      </c>
      <c r="C10" t="n">
        <v>45</v>
      </c>
      <c r="D10" t="n">
        <v>37</v>
      </c>
      <c r="E10" t="n">
        <v>61</v>
      </c>
      <c r="F10">
        <f>SUM(B10:E10)</f>
        <v/>
      </c>
    </row>
    <row r="11">
      <c r="A11" t="inlineStr">
        <is>
          <t>model-level treatment records</t>
        </is>
      </c>
      <c r="B11" t="n">
        <v>241</v>
      </c>
      <c r="C11" t="n">
        <v>4032</v>
      </c>
      <c r="D11" t="n">
        <v>1726</v>
      </c>
      <c r="E11" t="n">
        <v>4706</v>
      </c>
      <c r="F11">
        <f>SUM(B11:E11)</f>
        <v/>
      </c>
    </row>
    <row r="12">
      <c r="A12" t="inlineStr">
        <is>
          <t>treatment curves</t>
        </is>
      </c>
      <c r="B12" t="n">
        <v>167</v>
      </c>
      <c r="C12" t="n">
        <v>2546</v>
      </c>
      <c r="D12" t="n">
        <v>1156</v>
      </c>
      <c r="E12" t="n">
        <v>4483</v>
      </c>
      <c r="F12">
        <f>SUM(B12:E12)</f>
        <v/>
      </c>
    </row>
    <row r="13">
      <c r="A13" t="inlineStr">
        <is>
          <t>control curves</t>
        </is>
      </c>
      <c r="B13" t="n">
        <v>74</v>
      </c>
      <c r="C13" t="n">
        <v>1486</v>
      </c>
      <c r="D13" t="n">
        <v>570</v>
      </c>
      <c r="E13" t="n">
        <v>223</v>
      </c>
      <c r="F13">
        <f>SUM(B13:E13)</f>
        <v/>
      </c>
    </row>
    <row r="14">
      <c r="A14" t="inlineStr">
        <is>
          <t>treatment-control experiment</t>
        </is>
      </c>
      <c r="B14" t="n">
        <v>135</v>
      </c>
      <c r="C14" t="n">
        <v>1374</v>
      </c>
      <c r="D14" t="n">
        <v>155</v>
      </c>
      <c r="E14" t="n">
        <v>3968</v>
      </c>
      <c r="F14">
        <f>SUM(B14:E14)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211" workbookViewId="0">
      <selection activeCell="D11" sqref="D11"/>
    </sheetView>
  </sheetViews>
  <sheetFormatPr baseColWidth="10" defaultRowHeight="16"/>
  <cols>
    <col width="22.6640625" customWidth="1" min="1" max="1"/>
    <col width="19.83203125" customWidth="1" min="2" max="2"/>
  </cols>
  <sheetData>
    <row r="1">
      <c r="A1" t="inlineStr">
        <is>
          <t>Dataset</t>
        </is>
      </c>
      <c r="B1" t="inlineStr">
        <is>
          <t>CancerType</t>
        </is>
      </c>
      <c r="C1" t="inlineStr">
        <is>
          <t>Model</t>
        </is>
      </c>
    </row>
    <row r="2">
      <c r="A2" t="inlineStr">
        <is>
          <t>UHN breast</t>
        </is>
      </c>
      <c r="B2" t="inlineStr">
        <is>
          <t>Breast cancer</t>
        </is>
      </c>
      <c r="C2" t="n">
        <v>364</v>
      </c>
    </row>
    <row r="3">
      <c r="A3" t="inlineStr">
        <is>
          <t>PDXE breast</t>
        </is>
      </c>
      <c r="B3" t="inlineStr">
        <is>
          <t>Breast cancer</t>
        </is>
      </c>
      <c r="C3" t="n">
        <v>43</v>
      </c>
    </row>
    <row r="4">
      <c r="A4" t="inlineStr">
        <is>
          <t>McGill breast</t>
        </is>
      </c>
      <c r="B4" t="inlineStr">
        <is>
          <t>Breast cancer</t>
        </is>
      </c>
      <c r="C4" t="n">
        <v>34</v>
      </c>
    </row>
    <row r="5">
      <c r="A5" t="inlineStr">
        <is>
          <t>UHN lung</t>
        </is>
      </c>
      <c r="B5" t="inlineStr">
        <is>
          <t>Lung cancer</t>
        </is>
      </c>
      <c r="C5" t="n">
        <v>40</v>
      </c>
    </row>
    <row r="6">
      <c r="A6" t="inlineStr">
        <is>
          <t>PDXE lung</t>
        </is>
      </c>
      <c r="B6" t="inlineStr">
        <is>
          <t>Lung cancer</t>
        </is>
      </c>
      <c r="C6" t="n">
        <v>36</v>
      </c>
    </row>
    <row r="7">
      <c r="A7" t="inlineStr">
        <is>
          <t>PDXE gastric</t>
        </is>
      </c>
      <c r="B7" t="inlineStr">
        <is>
          <t>Gastric cancer</t>
        </is>
      </c>
      <c r="C7" t="n">
        <v>64</v>
      </c>
    </row>
    <row r="8">
      <c r="A8" t="inlineStr">
        <is>
          <t>PDXE colorectal</t>
        </is>
      </c>
      <c r="B8" t="inlineStr">
        <is>
          <t>Colorectal cancer</t>
        </is>
      </c>
      <c r="C8" t="n">
        <v>59</v>
      </c>
    </row>
    <row r="9">
      <c r="A9" t="inlineStr">
        <is>
          <t>PDXE pancreatic</t>
        </is>
      </c>
      <c r="B9" t="inlineStr">
        <is>
          <t>Pancreatic cancer</t>
        </is>
      </c>
      <c r="C9" t="n">
        <v>42</v>
      </c>
    </row>
    <row r="10">
      <c r="A10" t="inlineStr">
        <is>
          <t>PDXE cutaneous melanoma</t>
        </is>
      </c>
      <c r="B10" t="inlineStr">
        <is>
          <t>Cutaneous melanoma</t>
        </is>
      </c>
      <c r="C10" t="n">
        <v>33</v>
      </c>
    </row>
    <row r="11">
      <c r="A11" t="inlineStr">
        <is>
          <t>Total</t>
        </is>
      </c>
      <c r="C11" t="n">
        <v>715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tabSelected="1" workbookViewId="0">
      <selection activeCell="B9" sqref="B9"/>
    </sheetView>
  </sheetViews>
  <sheetFormatPr baseColWidth="10" defaultRowHeight="16"/>
  <cols>
    <col width="31.33203125" customWidth="1" min="1" max="1"/>
    <col width="65.33203125" customWidth="1" min="2" max="2"/>
    <col width="63.83203125" customWidth="1" min="3" max="3"/>
    <col width="15.1640625" bestFit="1" customWidth="1" min="4" max="4"/>
    <col width="17" bestFit="1" customWidth="1" min="5" max="5"/>
    <col width="25.5" bestFit="1" customWidth="1" min="6" max="6"/>
    <col width="28" customWidth="1" min="7" max="7"/>
    <col width="16.33203125" bestFit="1" customWidth="1" min="8" max="8"/>
  </cols>
  <sheetData>
    <row r="1">
      <c r="A1" s="1" t="inlineStr">
        <is>
          <t>PDX Resource</t>
        </is>
      </c>
      <c r="B1" t="inlineStr">
        <is>
          <t>Portal website</t>
        </is>
      </c>
      <c r="C1" t="inlineStr">
        <is>
          <t>Organization</t>
        </is>
      </c>
      <c r="D1" s="1" t="inlineStr">
        <is>
          <t>Model metadata</t>
        </is>
      </c>
      <c r="E1" s="1" t="inlineStr">
        <is>
          <t>Molecular profiles</t>
        </is>
      </c>
      <c r="F1" s="1" t="inlineStr">
        <is>
          <t>Drug response</t>
        </is>
      </c>
      <c r="G1" s="1" t="inlineStr">
        <is>
          <t>Longitudinal tumour volume</t>
        </is>
      </c>
      <c r="H1" s="1" t="inlineStr">
        <is>
          <t>Analysis-ready dataset</t>
        </is>
      </c>
    </row>
    <row r="2">
      <c r="A2" s="2" t="inlineStr">
        <is>
          <t>PDX Finder / PDCM Finder (retired)</t>
        </is>
      </c>
      <c r="B2" t="inlineStr">
        <is>
          <t>cancermodels.org (retired; redirects to EBI BioStudies archive)</t>
        </is>
      </c>
      <c r="C2" t="inlineStr">
        <is>
          <t>EMBL-EBI; The Jackson Laboratory (JAX)</t>
        </is>
      </c>
      <c r="D2" s="2" t="inlineStr">
        <is>
          <t>Yes</t>
        </is>
      </c>
      <c r="E2" s="2" t="inlineStr">
        <is>
          <t>Yes</t>
        </is>
      </c>
      <c r="F2" s="2" t="inlineStr">
        <is>
          <t>Limited</t>
        </is>
      </c>
      <c r="G2" s="2" t="inlineStr">
        <is>
          <t>No</t>
        </is>
      </c>
      <c r="H2" s="2" t="inlineStr">
        <is>
          <t>No</t>
        </is>
      </c>
    </row>
    <row r="3">
      <c r="A3" s="2" t="inlineStr">
        <is>
          <t>EurOPDX</t>
        </is>
      </c>
      <c r="B3" t="inlineStr">
        <is>
          <t>europdx.eu (portal-URL status unclear -- see note)</t>
        </is>
      </c>
      <c r="C3" t="inlineStr">
        <is>
          <t>EurOPDX Research Infrastructure consortium (~20 European institutes)</t>
        </is>
      </c>
      <c r="D3" s="2" t="inlineStr">
        <is>
          <t>Yes</t>
        </is>
      </c>
      <c r="E3" s="2" t="inlineStr">
        <is>
          <t>Yes</t>
        </is>
      </c>
      <c r="F3" s="2" t="inlineStr">
        <is>
          <t>Limited</t>
        </is>
      </c>
      <c r="G3" s="2" t="inlineStr">
        <is>
          <t>Limited</t>
        </is>
      </c>
      <c r="H3" s="2" t="inlineStr">
        <is>
          <t>No</t>
        </is>
      </c>
    </row>
    <row r="4">
      <c r="A4" s="2" t="inlineStr">
        <is>
          <t>PDMR</t>
        </is>
      </c>
      <c r="B4" t="inlineStr">
        <is>
          <t>pdmr.cancer.gov (redirects to dctd.cancer.gov/.../pdmr)</t>
        </is>
      </c>
      <c r="C4" t="inlineStr">
        <is>
          <t>National Cancer Institute (NCI)</t>
        </is>
      </c>
      <c r="D4" s="2" t="inlineStr">
        <is>
          <t>Yes</t>
        </is>
      </c>
      <c r="E4" s="2" t="inlineStr">
        <is>
          <t>Yes</t>
        </is>
      </c>
      <c r="F4" s="2" t="inlineStr">
        <is>
          <t>No</t>
        </is>
      </c>
      <c r="G4" s="2" t="inlineStr">
        <is>
          <t>Limited</t>
        </is>
      </c>
      <c r="H4" s="2" t="inlineStr">
        <is>
          <t>No</t>
        </is>
      </c>
    </row>
    <row r="5">
      <c r="A5" s="2" t="inlineStr">
        <is>
          <t>PDXNet</t>
        </is>
      </c>
      <c r="B5" t="inlineStr">
        <is>
          <t>pdxnetwork.org</t>
        </is>
      </c>
      <c r="C5" t="inlineStr">
        <is>
          <t>NCI PDX Development and Trial Centers Research Network (PDXNet)</t>
        </is>
      </c>
      <c r="D5" s="2" t="inlineStr">
        <is>
          <t>Yes</t>
        </is>
      </c>
      <c r="E5" s="2" t="inlineStr">
        <is>
          <t>Yes</t>
        </is>
      </c>
      <c r="F5" s="2" t="inlineStr">
        <is>
          <t>Limited</t>
        </is>
      </c>
      <c r="G5" s="2" t="inlineStr">
        <is>
          <t>Limited</t>
        </is>
      </c>
      <c r="H5" s="2" t="inlineStr">
        <is>
          <t>Limited</t>
        </is>
      </c>
    </row>
    <row r="6">
      <c r="A6" s="2" t="inlineStr">
        <is>
          <t>XevaDB</t>
        </is>
      </c>
      <c r="B6" s="2" t="inlineStr">
        <is>
          <t>xevadb.ca</t>
        </is>
      </c>
      <c r="C6" s="2" t="inlineStr">
        <is>
          <t>Princess Margaret Cancer Centre</t>
        </is>
      </c>
      <c r="D6" s="2" t="inlineStr">
        <is>
          <t>Yes</t>
        </is>
      </c>
      <c r="E6" s="2" t="inlineStr">
        <is>
          <t>Yes</t>
        </is>
      </c>
      <c r="F6" s="2" t="inlineStr">
        <is>
          <t>Yes</t>
        </is>
      </c>
      <c r="G6" s="2" t="inlineStr">
        <is>
          <t>Yes</t>
        </is>
      </c>
      <c r="H6" s="2" t="inlineStr">
        <is>
          <t>Yes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Feng, Guanqiao</dc:creator>
  <dcterms:created xmlns:dcterms="http://purl.org/dc/terms/" xmlns:xsi="http://www.w3.org/2001/XMLSchema-instance" xsi:type="dcterms:W3CDTF">2026-08-11T13:21:30Z</dcterms:created>
  <dcterms:modified xmlns:dcterms="http://purl.org/dc/terms/" xmlns:xsi="http://www.w3.org/2001/XMLSchema-instance" xsi:type="dcterms:W3CDTF">2026-09-02T19:36:09Z</dcterms:modified>
  <cp:lastModifiedBy>Feng, Guanqiao</cp:lastModifiedBy>
</cp:coreProperties>
</file>