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BHK/XevaDB/Manuscript_gitrepo/XevaDB_case_study/data/procdata/0_datasets/summary/"/>
    </mc:Choice>
  </mc:AlternateContent>
  <xr:revisionPtr revIDLastSave="0" documentId="13_ncr:1_{74558145-47C4-E842-B8DF-ED5CB85B135B}" xr6:coauthVersionLast="47" xr6:coauthVersionMax="47" xr10:uidLastSave="{00000000-0000-0000-0000-000000000000}"/>
  <bookViews>
    <workbookView xWindow="2800" yWindow="1740" windowWidth="28040" windowHeight="17180" activeTab="2" xr2:uid="{ED8C21EB-FF39-BD43-B8D4-685DB6E9D4A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4" i="1"/>
  <c r="F13" i="1"/>
  <c r="F12" i="1"/>
  <c r="F10" i="1"/>
  <c r="F3" i="1"/>
  <c r="F6" i="1"/>
  <c r="F7" i="1"/>
  <c r="F8" i="1"/>
  <c r="F11" i="1"/>
  <c r="F14" i="1"/>
  <c r="F2" i="1"/>
</calcChain>
</file>

<file path=xl/sharedStrings.xml><?xml version="1.0" encoding="utf-8"?>
<sst xmlns="http://schemas.openxmlformats.org/spreadsheetml/2006/main" count="96" uniqueCount="54">
  <si>
    <t>McGill breast</t>
  </si>
  <si>
    <t>UHN breast</t>
  </si>
  <si>
    <t>UHN lung</t>
  </si>
  <si>
    <t>PDXE pan-cancer</t>
  </si>
  <si>
    <t>Model</t>
  </si>
  <si>
    <t>Patient</t>
  </si>
  <si>
    <t>Drug</t>
  </si>
  <si>
    <t>RNAseq</t>
  </si>
  <si>
    <t>Mutation</t>
  </si>
  <si>
    <t>CNV</t>
  </si>
  <si>
    <t>treatment-control experiment</t>
  </si>
  <si>
    <t>model-level treatment records</t>
  </si>
  <si>
    <t>Total</t>
  </si>
  <si>
    <t>Treatment</t>
  </si>
  <si>
    <t>Parental Model</t>
  </si>
  <si>
    <t>Resistant Model</t>
  </si>
  <si>
    <t>treatment curves</t>
  </si>
  <si>
    <t>control curves</t>
  </si>
  <si>
    <t>PDXE breast</t>
  </si>
  <si>
    <t>Dataset</t>
  </si>
  <si>
    <t>CancerType</t>
  </si>
  <si>
    <t>PDXE lung</t>
  </si>
  <si>
    <t>PDXE colorectal</t>
  </si>
  <si>
    <t>PDXE gastric</t>
  </si>
  <si>
    <t>PDXE pancreatic</t>
  </si>
  <si>
    <t>Breast cancer</t>
  </si>
  <si>
    <t>Lung cancer</t>
  </si>
  <si>
    <t>Colorectal cancer</t>
  </si>
  <si>
    <t>Gastric cancer</t>
  </si>
  <si>
    <t>Pancreatic cancer</t>
  </si>
  <si>
    <t>PDXE cutaneous melanoma</t>
  </si>
  <si>
    <t>Cutaneous melanoma</t>
  </si>
  <si>
    <t>PDX Resource</t>
  </si>
  <si>
    <t>Primary focus</t>
  </si>
  <si>
    <t>Model metadata</t>
  </si>
  <si>
    <t>Drug annotations</t>
  </si>
  <si>
    <t>Molecular profiles</t>
  </si>
  <si>
    <t>Longitudinal tumor volume</t>
  </si>
  <si>
    <t>PDX Finder</t>
  </si>
  <si>
    <t>PDX model discovery and metadata aggregation</t>
  </si>
  <si>
    <t>Yes</t>
  </si>
  <si>
    <t>No</t>
  </si>
  <si>
    <t>PDCM Finder</t>
  </si>
  <si>
    <t>PDX and patient-derived cancer model discovery</t>
  </si>
  <si>
    <t>Limited</t>
  </si>
  <si>
    <t>EurOPDX</t>
  </si>
  <si>
    <t>Europe a PDX model catalog and network resource</t>
  </si>
  <si>
    <t>PDXNet</t>
  </si>
  <si>
    <t>PDX model generation, characterization</t>
  </si>
  <si>
    <t>XevaDB</t>
  </si>
  <si>
    <t>Longitudinal pharmacogenomic modeling and ML-readly analysis</t>
  </si>
  <si>
    <t>HCMI</t>
  </si>
  <si>
    <t>Drug response</t>
  </si>
  <si>
    <t>ML-ready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</si>
</sst>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1350-942C-124F-A6B0-543AB244E949}">
  <dimension ref="A1:F14"/>
  <sheetViews>
    <sheetView workbookViewId="0">
      <selection activeCell="F3" sqref="A1:F3"/>
    </sheetView>
  </sheetViews>
  <sheetFormatPr baseColWidth="10" defaultRowHeight="16" x14ac:dyDescent="0.2"/>
  <cols>
    <col min="1" max="1" width="27.1640625" customWidth="1"/>
    <col min="2" max="2" width="17.1640625" customWidth="1"/>
    <col min="3" max="3" width="15.33203125" customWidth="1"/>
    <col min="4" max="4" width="14.83203125" customWidth="1"/>
    <col min="5" max="5" width="17.33203125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12</v>
      </c>
    </row>
    <row r="2" spans="1:6" x14ac:dyDescent="0.2">
      <c r="A2" t="s">
        <v>5</v>
      </c>
      <c r="B2">
        <v>34</v>
      </c>
      <c r="C2">
        <v>118</v>
      </c>
      <c r="D2">
        <v>40</v>
      </c>
      <c r="E2">
        <v>277</v>
      </c>
      <c r="F2">
        <f>SUM(B2:E2)</f>
        <v>469</v>
      </c>
    </row>
    <row r="3" spans="1:6" x14ac:dyDescent="0.2">
      <c r="A3" t="s">
        <v>4</v>
      </c>
      <c r="B3">
        <v>34</v>
      </c>
      <c r="C3">
        <v>364</v>
      </c>
      <c r="D3">
        <v>40</v>
      </c>
      <c r="E3">
        <v>277</v>
      </c>
      <c r="F3">
        <f t="shared" ref="F3:F14" si="0">SUM(B3:E3)</f>
        <v>715</v>
      </c>
    </row>
    <row r="4" spans="1:6" x14ac:dyDescent="0.2">
      <c r="A4" t="s">
        <v>14</v>
      </c>
      <c r="B4">
        <v>34</v>
      </c>
      <c r="C4">
        <v>118</v>
      </c>
      <c r="D4">
        <v>40</v>
      </c>
      <c r="E4">
        <v>277</v>
      </c>
      <c r="F4">
        <f>SUM(B4:E4)</f>
        <v>469</v>
      </c>
    </row>
    <row r="5" spans="1:6" x14ac:dyDescent="0.2">
      <c r="A5" t="s">
        <v>15</v>
      </c>
      <c r="B5">
        <v>0</v>
      </c>
      <c r="C5">
        <v>246</v>
      </c>
      <c r="D5">
        <v>0</v>
      </c>
      <c r="E5">
        <v>0</v>
      </c>
      <c r="F5">
        <f>SUM(B5:E5)</f>
        <v>246</v>
      </c>
    </row>
    <row r="6" spans="1:6" x14ac:dyDescent="0.2">
      <c r="A6" t="s">
        <v>7</v>
      </c>
      <c r="B6">
        <v>33</v>
      </c>
      <c r="C6">
        <v>90</v>
      </c>
      <c r="D6">
        <v>30</v>
      </c>
      <c r="E6">
        <v>191</v>
      </c>
      <c r="F6">
        <f t="shared" si="0"/>
        <v>344</v>
      </c>
    </row>
    <row r="7" spans="1:6" x14ac:dyDescent="0.2">
      <c r="A7" t="s">
        <v>8</v>
      </c>
      <c r="B7">
        <v>34</v>
      </c>
      <c r="C7">
        <v>85</v>
      </c>
      <c r="D7">
        <v>29</v>
      </c>
      <c r="E7">
        <v>191</v>
      </c>
      <c r="F7">
        <f t="shared" si="0"/>
        <v>339</v>
      </c>
    </row>
    <row r="8" spans="1:6" x14ac:dyDescent="0.2">
      <c r="A8" t="s">
        <v>9</v>
      </c>
      <c r="B8">
        <v>34</v>
      </c>
      <c r="C8">
        <v>85</v>
      </c>
      <c r="D8">
        <v>30</v>
      </c>
      <c r="E8">
        <v>190</v>
      </c>
      <c r="F8">
        <f t="shared" si="0"/>
        <v>339</v>
      </c>
    </row>
    <row r="9" spans="1:6" x14ac:dyDescent="0.2">
      <c r="A9" t="s">
        <v>6</v>
      </c>
      <c r="B9">
        <v>5</v>
      </c>
      <c r="C9">
        <v>20</v>
      </c>
      <c r="D9">
        <v>23</v>
      </c>
      <c r="E9">
        <v>38</v>
      </c>
      <c r="F9">
        <v>80</v>
      </c>
    </row>
    <row r="10" spans="1:6" x14ac:dyDescent="0.2">
      <c r="A10" t="s">
        <v>13</v>
      </c>
      <c r="B10">
        <v>5</v>
      </c>
      <c r="C10">
        <v>45</v>
      </c>
      <c r="D10">
        <v>37</v>
      </c>
      <c r="E10">
        <v>61</v>
      </c>
      <c r="F10">
        <f>SUM(B10:E10)</f>
        <v>148</v>
      </c>
    </row>
    <row r="11" spans="1:6" x14ac:dyDescent="0.2">
      <c r="A11" t="s">
        <v>11</v>
      </c>
      <c r="B11">
        <v>241</v>
      </c>
      <c r="C11">
        <v>4032</v>
      </c>
      <c r="D11">
        <v>1726</v>
      </c>
      <c r="E11">
        <v>4706</v>
      </c>
      <c r="F11">
        <f t="shared" si="0"/>
        <v>10705</v>
      </c>
    </row>
    <row r="12" spans="1:6" x14ac:dyDescent="0.2">
      <c r="A12" t="s">
        <v>16</v>
      </c>
      <c r="B12">
        <v>167</v>
      </c>
      <c r="C12">
        <v>2546</v>
      </c>
      <c r="D12">
        <v>1156</v>
      </c>
      <c r="E12">
        <v>4483</v>
      </c>
      <c r="F12">
        <f t="shared" si="0"/>
        <v>8352</v>
      </c>
    </row>
    <row r="13" spans="1:6" x14ac:dyDescent="0.2">
      <c r="A13" t="s">
        <v>17</v>
      </c>
      <c r="B13">
        <v>74</v>
      </c>
      <c r="C13">
        <v>1486</v>
      </c>
      <c r="D13">
        <v>570</v>
      </c>
      <c r="E13">
        <v>223</v>
      </c>
      <c r="F13">
        <f>SUM(B13:E13)</f>
        <v>2353</v>
      </c>
    </row>
    <row r="14" spans="1:6" x14ac:dyDescent="0.2">
      <c r="A14" t="s">
        <v>10</v>
      </c>
      <c r="B14">
        <v>135</v>
      </c>
      <c r="C14">
        <v>1374</v>
      </c>
      <c r="D14">
        <v>155</v>
      </c>
      <c r="E14">
        <v>3968</v>
      </c>
      <c r="F14">
        <f t="shared" si="0"/>
        <v>5632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4D29-6718-3B40-8E65-C323490E76A2}">
  <dimension ref="A1:C11"/>
  <sheetViews>
    <sheetView zoomScale="211" workbookViewId="0">
      <selection activeCell="D11" sqref="D11"/>
    </sheetView>
  </sheetViews>
  <sheetFormatPr baseColWidth="10" defaultRowHeight="16" x14ac:dyDescent="0.2"/>
  <cols>
    <col min="1" max="1" width="22.6640625" customWidth="1"/>
    <col min="2" max="2" width="19.83203125" customWidth="1"/>
  </cols>
  <sheetData>
    <row r="1" spans="1:3" x14ac:dyDescent="0.2">
      <c r="A1" t="s">
        <v>19</v>
      </c>
      <c r="B1" t="s">
        <v>20</v>
      </c>
      <c r="C1" t="s">
        <v>4</v>
      </c>
    </row>
    <row r="2" spans="1:3" x14ac:dyDescent="0.2">
      <c r="A2" t="s">
        <v>1</v>
      </c>
      <c r="B2" t="s">
        <v>25</v>
      </c>
      <c r="C2">
        <v>364</v>
      </c>
    </row>
    <row r="3" spans="1:3" x14ac:dyDescent="0.2">
      <c r="A3" t="s">
        <v>18</v>
      </c>
      <c r="B3" t="s">
        <v>25</v>
      </c>
      <c r="C3">
        <v>43</v>
      </c>
    </row>
    <row r="4" spans="1:3" x14ac:dyDescent="0.2">
      <c r="A4" t="s">
        <v>0</v>
      </c>
      <c r="B4" t="s">
        <v>25</v>
      </c>
      <c r="C4">
        <v>34</v>
      </c>
    </row>
    <row r="5" spans="1:3" x14ac:dyDescent="0.2">
      <c r="A5" t="s">
        <v>2</v>
      </c>
      <c r="B5" t="s">
        <v>26</v>
      </c>
      <c r="C5">
        <v>40</v>
      </c>
    </row>
    <row r="6" spans="1:3" x14ac:dyDescent="0.2">
      <c r="A6" t="s">
        <v>21</v>
      </c>
      <c r="B6" t="s">
        <v>26</v>
      </c>
      <c r="C6">
        <v>36</v>
      </c>
    </row>
    <row r="7" spans="1:3" x14ac:dyDescent="0.2">
      <c r="A7" t="s">
        <v>23</v>
      </c>
      <c r="B7" t="s">
        <v>28</v>
      </c>
      <c r="C7">
        <v>64</v>
      </c>
    </row>
    <row r="8" spans="1:3" x14ac:dyDescent="0.2">
      <c r="A8" t="s">
        <v>22</v>
      </c>
      <c r="B8" t="s">
        <v>27</v>
      </c>
      <c r="C8">
        <v>59</v>
      </c>
    </row>
    <row r="9" spans="1:3" x14ac:dyDescent="0.2">
      <c r="A9" t="s">
        <v>24</v>
      </c>
      <c r="B9" t="s">
        <v>29</v>
      </c>
      <c r="C9">
        <v>42</v>
      </c>
    </row>
    <row r="10" spans="1:3" x14ac:dyDescent="0.2">
      <c r="A10" t="s">
        <v>30</v>
      </c>
      <c r="B10" t="s">
        <v>31</v>
      </c>
      <c r="C10">
        <v>33</v>
      </c>
    </row>
    <row r="11" spans="1:3" x14ac:dyDescent="0.2">
      <c r="A11" t="s">
        <v>12</v>
      </c>
      <c r="C11">
        <v>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0733-41D6-9A42-9B54-F4CB2C5E67A4}">
  <dimension ref="A1:H7"/>
  <sheetViews>
    <sheetView tabSelected="1" workbookViewId="0">
      <selection activeCell="D15" sqref="D15"/>
    </sheetView>
  </sheetViews>
  <sheetFormatPr baseColWidth="10" defaultRowHeight="16" x14ac:dyDescent="0.2"/>
  <cols>
    <col min="1" max="1" width="26.1640625" bestFit="1" customWidth="1"/>
    <col min="2" max="2" width="54.5" bestFit="1" customWidth="1"/>
    <col min="3" max="3" width="15.1640625" bestFit="1" customWidth="1"/>
    <col min="4" max="4" width="16.83203125" bestFit="1" customWidth="1"/>
    <col min="5" max="5" width="17" bestFit="1" customWidth="1"/>
    <col min="6" max="6" width="25.5" bestFit="1" customWidth="1"/>
    <col min="7" max="7" width="25.6640625" bestFit="1" customWidth="1"/>
    <col min="8" max="8" width="16.33203125" bestFit="1" customWidth="1"/>
  </cols>
  <sheetData>
    <row r="1" spans="1:8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52</v>
      </c>
      <c r="G1" s="1" t="s">
        <v>37</v>
      </c>
      <c r="H1" s="1" t="s">
        <v>53</v>
      </c>
    </row>
    <row r="2" spans="1:8" x14ac:dyDescent="0.2">
      <c r="A2" s="2" t="s">
        <v>38</v>
      </c>
      <c r="B2" s="2" t="s">
        <v>39</v>
      </c>
      <c r="C2" s="2" t="s">
        <v>40</v>
      </c>
      <c r="D2" s="2" t="s">
        <v>40</v>
      </c>
      <c r="E2" s="2" t="s">
        <v>40</v>
      </c>
      <c r="F2" s="2" t="s">
        <v>40</v>
      </c>
      <c r="G2" s="2" t="s">
        <v>41</v>
      </c>
      <c r="H2" s="2" t="s">
        <v>41</v>
      </c>
    </row>
    <row r="3" spans="1:8" x14ac:dyDescent="0.2">
      <c r="A3" s="2" t="s">
        <v>42</v>
      </c>
      <c r="B3" s="2" t="s">
        <v>43</v>
      </c>
      <c r="C3" s="2" t="s">
        <v>40</v>
      </c>
      <c r="D3" s="2" t="s">
        <v>44</v>
      </c>
      <c r="E3" s="2" t="s">
        <v>40</v>
      </c>
      <c r="F3" s="2" t="s">
        <v>44</v>
      </c>
      <c r="G3" s="2" t="s">
        <v>41</v>
      </c>
      <c r="H3" s="2" t="s">
        <v>41</v>
      </c>
    </row>
    <row r="4" spans="1:8" x14ac:dyDescent="0.2">
      <c r="A4" s="2" t="s">
        <v>45</v>
      </c>
      <c r="B4" s="2" t="s">
        <v>46</v>
      </c>
      <c r="C4" s="2" t="s">
        <v>40</v>
      </c>
      <c r="D4" s="2" t="s">
        <v>44</v>
      </c>
      <c r="E4" s="2" t="s">
        <v>40</v>
      </c>
      <c r="F4" s="2" t="s">
        <v>44</v>
      </c>
      <c r="G4" s="2" t="s">
        <v>41</v>
      </c>
      <c r="H4" s="2" t="s">
        <v>41</v>
      </c>
    </row>
    <row r="5" spans="1:8" x14ac:dyDescent="0.2">
      <c r="A5" s="2" t="s">
        <v>47</v>
      </c>
      <c r="B5" s="2" t="s">
        <v>48</v>
      </c>
      <c r="C5" s="2" t="s">
        <v>40</v>
      </c>
      <c r="D5" s="2" t="s">
        <v>44</v>
      </c>
      <c r="E5" s="2" t="s">
        <v>40</v>
      </c>
      <c r="F5" s="2" t="s">
        <v>44</v>
      </c>
      <c r="G5" s="2" t="s">
        <v>44</v>
      </c>
      <c r="H5" s="2" t="s">
        <v>41</v>
      </c>
    </row>
    <row r="6" spans="1:8" x14ac:dyDescent="0.2">
      <c r="A6" s="2" t="s">
        <v>51</v>
      </c>
      <c r="B6" s="2" t="s">
        <v>43</v>
      </c>
      <c r="C6" s="2" t="s">
        <v>40</v>
      </c>
      <c r="D6" s="2" t="s">
        <v>41</v>
      </c>
      <c r="E6" s="2" t="s">
        <v>40</v>
      </c>
      <c r="F6" s="2" t="s">
        <v>41</v>
      </c>
      <c r="G6" s="2" t="s">
        <v>41</v>
      </c>
      <c r="H6" s="2" t="s">
        <v>41</v>
      </c>
    </row>
    <row r="7" spans="1:8" x14ac:dyDescent="0.2">
      <c r="A7" s="2" t="s">
        <v>49</v>
      </c>
      <c r="B7" s="2" t="s">
        <v>50</v>
      </c>
      <c r="C7" s="2" t="s">
        <v>40</v>
      </c>
      <c r="D7" s="2" t="s">
        <v>40</v>
      </c>
      <c r="E7" s="2" t="s">
        <v>40</v>
      </c>
      <c r="F7" s="2" t="s">
        <v>40</v>
      </c>
      <c r="G7" s="2" t="s">
        <v>40</v>
      </c>
      <c r="H7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2026-08-11T13:21:30Z</dcterms:created>
  <dcterms:modified xsi:type="dcterms:W3CDTF">2026-08-12T13:24:14Z</dcterms:modified>
</cp:coreProperties>
</file>